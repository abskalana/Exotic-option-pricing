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33695\Documents\"/>
    </mc:Choice>
  </mc:AlternateContent>
  <xr:revisionPtr revIDLastSave="0" documentId="13_ncr:1_{033E7A6F-00DB-43B0-8603-5F88797F842E}" xr6:coauthVersionLast="47" xr6:coauthVersionMax="47" xr10:uidLastSave="{00000000-0000-0000-0000-000000000000}"/>
  <bookViews>
    <workbookView xWindow="-120" yWindow="-120" windowWidth="20730" windowHeight="11040" xr2:uid="{7DA6B69A-EEAC-4119-9638-4B327EA48346}"/>
  </bookViews>
  <sheets>
    <sheet name="Option pricer" sheetId="1" r:id="rId1"/>
    <sheet name="Sheet1" sheetId="2" r:id="rId2"/>
  </sheets>
  <functionGroups builtInGroupCount="19"/>
  <definedNames>
    <definedName name="_K">'Option pricer'!$H$8</definedName>
    <definedName name="_Maturity">'Option pricer'!$H$11</definedName>
    <definedName name="_Nsim">'Option pricer'!$H$14</definedName>
    <definedName name="_Ntime">'Option pricer'!$H$15</definedName>
    <definedName name="_rf">'Option pricer'!$H$10</definedName>
    <definedName name="_Sigma">'Option pricer'!$H$9</definedName>
    <definedName name="_So">'Option pricer'!$H$7</definedName>
    <definedName name="_T">'Option pricer'!$H$12</definedName>
    <definedName name="_Type">'Option pricer'!$H$6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4" i="2"/>
  <c r="F2" i="2"/>
  <c r="F7" i="2"/>
  <c r="F6" i="2"/>
  <c r="H37" i="1" a="1"/>
  <c r="H39" i="1" a="1"/>
  <c r="H38" i="1" a="1"/>
  <c r="H41" i="1" a="1"/>
  <c r="H40" i="1" a="1"/>
  <c r="H42" i="1" a="1"/>
  <c r="H39" i="1" l="1"/>
  <c r="H38" i="1"/>
  <c r="H42" i="1"/>
  <c r="H40" i="1"/>
  <c r="H41" i="1"/>
  <c r="H3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<sst xmlns="http://schemas.openxmlformats.org/spreadsheetml/2006/main" count="53" uniqueCount="52">
  <si>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Underlying</t>
  </si>
  <si>
    <t>Strike</t>
  </si>
  <si>
    <t>Volatility</t>
  </si>
  <si>
    <t>Risk free rate</t>
  </si>
  <si>
    <t>Maturity</t>
  </si>
  <si>
    <t>Type</t>
  </si>
  <si>
    <t>Barriere type</t>
  </si>
  <si>
    <t>Barriere value</t>
  </si>
  <si>
    <t>Number of simulation</t>
  </si>
  <si>
    <t>Lookback type</t>
  </si>
  <si>
    <t>Asian type</t>
  </si>
  <si>
    <t>Premium</t>
  </si>
  <si>
    <t>Option digital</t>
  </si>
  <si>
    <t>call</t>
  </si>
  <si>
    <t>Parameters</t>
  </si>
  <si>
    <t>Value</t>
  </si>
  <si>
    <t>Option pricing using Monte-carlo</t>
  </si>
  <si>
    <t>Barriere parameter</t>
  </si>
  <si>
    <t>Notionnal Q</t>
  </si>
  <si>
    <t>Lookback parameter</t>
  </si>
  <si>
    <t>Asian parameter</t>
  </si>
  <si>
    <t>Barrier</t>
  </si>
  <si>
    <t>Binaire</t>
  </si>
  <si>
    <t>Lookback</t>
  </si>
  <si>
    <t>Asian</t>
  </si>
  <si>
    <t>American</t>
  </si>
  <si>
    <t>European Vanilla</t>
  </si>
  <si>
    <t>Option type</t>
  </si>
  <si>
    <t>Number of time step</t>
  </si>
  <si>
    <t>DOWN-AND-IN</t>
  </si>
  <si>
    <t>floating</t>
  </si>
  <si>
    <t>GEOMETRIC</t>
  </si>
  <si>
    <t>Monte-carlo computation parameter</t>
  </si>
  <si>
    <t>Bermudan parameter</t>
  </si>
  <si>
    <t>Exercice date</t>
  </si>
  <si>
    <t>Direction</t>
  </si>
  <si>
    <t>regular ou reverse</t>
  </si>
  <si>
    <t>option</t>
  </si>
  <si>
    <t>blac</t>
  </si>
  <si>
    <t>bino</t>
  </si>
  <si>
    <t>monte-carlo</t>
  </si>
  <si>
    <t>Monte</t>
  </si>
  <si>
    <t>Descente</t>
  </si>
  <si>
    <t>Maintien</t>
  </si>
  <si>
    <t>Time</t>
  </si>
  <si>
    <t>Unde</t>
  </si>
  <si>
    <t>Payoff</t>
  </si>
  <si>
    <t>K=100</t>
  </si>
  <si>
    <t>Asia</t>
  </si>
  <si>
    <t>Loobkac</t>
  </si>
  <si>
    <t>fixed</t>
  </si>
  <si>
    <t>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</si>
</sst>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gray125">
        <fgColor theme="6" tint="0.79995117038483843"/>
        <bgColor theme="9" tint="0.59996337778862885"/>
      </patternFill>
    </fill>
    <fill>
      <patternFill patternType="solid">
        <fgColor theme="5" tint="0.79998168889431442"/>
        <bgColor indexed="64"/>
      </patternFill>
    </fill>
    <fill>
      <patternFill patternType="gray125">
        <fgColor theme="0" tint="-4.9989318521683403E-2"/>
        <bgColor theme="0" tint="-0.14996795556505021"/>
      </patternFill>
    </fill>
    <fill>
      <patternFill patternType="gray125">
        <fgColor theme="0" tint="-4.9989318521683403E-2"/>
        <bgColor rgb="FFFFC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3" borderId="1" xfId="0" applyFont="1" applyFill="1" applyBorder="1"/>
    <xf numFmtId="0" fontId="1" fillId="3" borderId="1" xfId="0" applyFont="1" applyFill="1" applyBorder="1" applyAlignment="1">
      <alignment horizontal="right"/>
    </xf>
    <xf numFmtId="0" fontId="1" fillId="4" borderId="1" xfId="0" applyFont="1" applyFill="1" applyBorder="1"/>
    <xf numFmtId="0" fontId="0" fillId="6" borderId="1" xfId="0" applyFill="1" applyBorder="1"/>
    <xf numFmtId="164" fontId="0" fillId="7" borderId="1" xfId="0" applyNumberFormat="1" applyFill="1" applyBorder="1"/>
    <xf numFmtId="0" fontId="0" fillId="5" borderId="1" xfId="0" applyFill="1" applyBorder="1" applyAlignment="1">
      <alignment horizontal="right"/>
    </xf>
    <xf numFmtId="9" fontId="0" fillId="5" borderId="1" xfId="0" applyNumberFormat="1" applyFill="1" applyBorder="1" applyAlignment="1">
      <alignment horizontal="right"/>
    </xf>
    <xf numFmtId="16" fontId="0" fillId="0" borderId="0" xfId="0" applyNumberFormat="1"/>
    <xf numFmtId="0" fontId="1" fillId="3" borderId="2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3" borderId="0" xfId="0" applyFont="1" applyFill="1" applyAlignment="1">
      <alignment horizontal="left"/>
    </xf>
    <xf numFmtId="0" fontId="0" fillId="6" borderId="0" xfId="0" applyFill="1" applyBorder="1"/>
    <xf numFmtId="164" fontId="0" fillId="8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6</xdr:row>
          <xdr:rowOff>9525</xdr:rowOff>
        </xdr:from>
        <xdr:to>
          <xdr:col>10</xdr:col>
          <xdr:colOff>19050</xdr:colOff>
          <xdr:row>8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51573-325E-4D02-ADF4-26F2854E6B63}">
  <sheetPr codeName="Sheet1"/>
  <dimension ref="C3:K42"/>
  <sheetViews>
    <sheetView tabSelected="1" topLeftCell="A21" workbookViewId="0">
      <selection activeCell="K32" sqref="K32"/>
    </sheetView>
  </sheetViews>
  <sheetFormatPr defaultRowHeight="15" x14ac:dyDescent="0.25"/>
  <cols>
    <col min="7" max="7" width="24.42578125" customWidth="1"/>
    <col min="8" max="8" width="29.85546875" customWidth="1"/>
    <col min="9" max="9" width="20.85546875" customWidth="1"/>
    <col min="10" max="10" width="17.140625" customWidth="1"/>
    <col min="11" max="11" width="27.140625" customWidth="1"/>
  </cols>
  <sheetData>
    <row r="3" spans="3:10" ht="18.75" x14ac:dyDescent="0.25">
      <c r="G3" s="11" t="s">
        <v>16</v>
      </c>
      <c r="H3" s="11"/>
    </row>
    <row r="5" spans="3:10" x14ac:dyDescent="0.25">
      <c r="G5" s="1" t="s">
        <v>14</v>
      </c>
      <c r="H5" s="2" t="s">
        <v>15</v>
      </c>
    </row>
    <row r="6" spans="3:10" x14ac:dyDescent="0.25">
      <c r="G6" s="4" t="s">
        <v>5</v>
      </c>
      <c r="H6" s="6" t="s">
        <v>13</v>
      </c>
    </row>
    <row r="7" spans="3:10" x14ac:dyDescent="0.25">
      <c r="G7" s="4" t="s">
        <v>0</v>
      </c>
      <c r="H7" s="6">
        <v>90</v>
      </c>
    </row>
    <row r="8" spans="3:10" x14ac:dyDescent="0.25">
      <c r="G8" s="4" t="s">
        <v>1</v>
      </c>
      <c r="H8" s="6">
        <v>100</v>
      </c>
    </row>
    <row r="9" spans="3:10" x14ac:dyDescent="0.25">
      <c r="C9" t="s">
        <v>37</v>
      </c>
      <c r="D9" t="s">
        <v>38</v>
      </c>
      <c r="G9" s="4" t="s">
        <v>2</v>
      </c>
      <c r="H9" s="7">
        <v>0.2</v>
      </c>
    </row>
    <row r="10" spans="3:10" x14ac:dyDescent="0.25">
      <c r="D10" t="s">
        <v>39</v>
      </c>
      <c r="G10" s="4" t="s">
        <v>3</v>
      </c>
      <c r="H10" s="7">
        <v>0.1</v>
      </c>
    </row>
    <row r="11" spans="3:10" x14ac:dyDescent="0.25">
      <c r="D11" t="s">
        <v>40</v>
      </c>
      <c r="G11" s="4" t="s">
        <v>4</v>
      </c>
      <c r="H11" s="6">
        <v>2</v>
      </c>
    </row>
    <row r="13" spans="3:10" x14ac:dyDescent="0.25">
      <c r="G13" s="14" t="s">
        <v>32</v>
      </c>
      <c r="H13" s="14"/>
    </row>
    <row r="14" spans="3:10" x14ac:dyDescent="0.25">
      <c r="G14" s="4" t="s">
        <v>8</v>
      </c>
      <c r="H14" s="6">
        <v>500</v>
      </c>
      <c r="J14">
        <v>100</v>
      </c>
    </row>
    <row r="15" spans="3:10" x14ac:dyDescent="0.25">
      <c r="G15" s="4" t="s">
        <v>28</v>
      </c>
      <c r="H15" s="6">
        <v>10</v>
      </c>
    </row>
    <row r="16" spans="3:10" x14ac:dyDescent="0.25">
      <c r="D16" t="s">
        <v>41</v>
      </c>
    </row>
    <row r="17" spans="4:11" x14ac:dyDescent="0.25">
      <c r="D17" t="s">
        <v>43</v>
      </c>
      <c r="G17" s="12" t="s">
        <v>17</v>
      </c>
      <c r="H17" s="13"/>
    </row>
    <row r="18" spans="4:11" x14ac:dyDescent="0.25">
      <c r="D18" t="s">
        <v>42</v>
      </c>
      <c r="G18" s="4" t="s">
        <v>6</v>
      </c>
      <c r="H18" s="6" t="s">
        <v>29</v>
      </c>
    </row>
    <row r="19" spans="4:11" x14ac:dyDescent="0.25">
      <c r="G19" s="4" t="s">
        <v>7</v>
      </c>
      <c r="H19" s="6">
        <v>100</v>
      </c>
    </row>
    <row r="20" spans="4:11" x14ac:dyDescent="0.25">
      <c r="G20" s="15" t="s">
        <v>35</v>
      </c>
      <c r="H20" t="s">
        <v>36</v>
      </c>
    </row>
    <row r="22" spans="4:11" x14ac:dyDescent="0.25">
      <c r="G22" s="9" t="s">
        <v>12</v>
      </c>
      <c r="H22" s="10"/>
    </row>
    <row r="23" spans="4:11" x14ac:dyDescent="0.25">
      <c r="G23" s="4" t="s">
        <v>18</v>
      </c>
      <c r="H23" s="6">
        <v>1000</v>
      </c>
    </row>
    <row r="25" spans="4:11" x14ac:dyDescent="0.25">
      <c r="G25" s="9" t="s">
        <v>19</v>
      </c>
      <c r="H25" s="10"/>
    </row>
    <row r="26" spans="4:11" x14ac:dyDescent="0.25">
      <c r="G26" s="4" t="s">
        <v>9</v>
      </c>
      <c r="H26" s="6" t="s">
        <v>30</v>
      </c>
    </row>
    <row r="28" spans="4:11" x14ac:dyDescent="0.25">
      <c r="G28" s="9" t="s">
        <v>20</v>
      </c>
      <c r="H28" s="10"/>
      <c r="K28" s="8"/>
    </row>
    <row r="29" spans="4:11" x14ac:dyDescent="0.25">
      <c r="G29" s="4" t="s">
        <v>10</v>
      </c>
      <c r="H29" s="6" t="s">
        <v>31</v>
      </c>
    </row>
    <row r="32" spans="4:11" x14ac:dyDescent="0.25">
      <c r="G32" s="9" t="s">
        <v>33</v>
      </c>
      <c r="H32" s="10"/>
    </row>
    <row r="33" spans="5:8" x14ac:dyDescent="0.25">
      <c r="G33" s="4" t="s">
        <v>34</v>
      </c>
    </row>
    <row r="36" spans="5:8" x14ac:dyDescent="0.25">
      <c r="G36" s="3" t="s">
        <v>27</v>
      </c>
      <c r="H36" s="3" t="s">
        <v>11</v>
      </c>
    </row>
    <row r="37" spans="5:8" x14ac:dyDescent="0.25">
      <c r="G37" s="4" t="s">
        <v>26</v>
      </c>
      <c r="H37" s="5" cm="1">
        <f t="array" ref="H37">PriceEuropeanVanillaOption(_Type,_So,_K,_Sigma,_rf,H11,_Ntime,_Nsim)</f>
        <v>14.661496935341333</v>
      </c>
    </row>
    <row r="38" spans="5:8" x14ac:dyDescent="0.25">
      <c r="E38">
        <v>70</v>
      </c>
      <c r="G38" s="4" t="s">
        <v>21</v>
      </c>
      <c r="H38" s="5" cm="1">
        <f t="array" ref="H38">PriceBarrierOption(_Type,_So,_K,_Sigma,_rf,_Maturity,_Nsim,_Ntime,H18,H19)</f>
        <v>11.996115023285697</v>
      </c>
    </row>
    <row r="39" spans="5:8" x14ac:dyDescent="0.25">
      <c r="G39" s="4" t="s">
        <v>22</v>
      </c>
      <c r="H39" s="5" cm="1">
        <f t="array" ref="H39">PriceDigitalOption(_Type,_So,_K,_Sigma,_rf,_Maturity,_Nsim,_Ntime,H23)</f>
        <v>348.77930081122025</v>
      </c>
    </row>
    <row r="40" spans="5:8" x14ac:dyDescent="0.25">
      <c r="G40" s="4" t="s">
        <v>23</v>
      </c>
      <c r="H40" s="5" cm="1">
        <f t="array" ref="H40">PriceLookbackOption(_Type,_So,_K,_Sigma,_rf,_Maturity,_Nsim,_Ntime,H26)</f>
        <v>8.1175172420148343</v>
      </c>
    </row>
    <row r="41" spans="5:8" x14ac:dyDescent="0.25">
      <c r="G41" s="4" t="s">
        <v>24</v>
      </c>
      <c r="H41" s="5" cm="1">
        <f t="array" ref="H41">PriceAsianOption(_Type,_So,_K,_Sigma,_rf,_Maturity,_Nsim,_Ntime,H29)</f>
        <v>6.15567262612731</v>
      </c>
    </row>
    <row r="42" spans="5:8" x14ac:dyDescent="0.25">
      <c r="G42" s="4" t="s">
        <v>25</v>
      </c>
      <c r="H42" s="16" cm="1">
        <f t="array" ref="H42">PriceAmericanOption(_Type,_So,_K,_Sigma,_rf,_Maturity,_Ntime)</f>
        <v>18.392370500256618</v>
      </c>
    </row>
  </sheetData>
  <sortState xmlns:xlrd2="http://schemas.microsoft.com/office/spreadsheetml/2017/richdata2" ref="J17:J20">
    <sortCondition ref="J17:J20"/>
  </sortState>
  <mergeCells count="7">
    <mergeCell ref="G32:H32"/>
    <mergeCell ref="G3:H3"/>
    <mergeCell ref="G17:H17"/>
    <mergeCell ref="G13:H13"/>
    <mergeCell ref="G22:H22"/>
    <mergeCell ref="G25:H25"/>
    <mergeCell ref="G28:H28"/>
  </mergeCells>
  <dataValidations count="6">
    <dataValidation type="decimal" allowBlank="1" showInputMessage="1" showErrorMessage="1" sqref="H10" xr:uid="{C76E818D-E8D3-4F74-A17E-76124C6A3D93}">
      <formula1>0</formula1>
      <formula2>100</formula2>
    </dataValidation>
    <dataValidation type="whole" operator="greaterThan" allowBlank="1" showInputMessage="1" showErrorMessage="1" sqref="H7" xr:uid="{7B7593EA-FB6D-4798-B4DD-F01875243B35}">
      <formula1>0</formula1>
    </dataValidation>
    <dataValidation type="list" allowBlank="1" showInputMessage="1" showErrorMessage="1" sqref="H29" xr:uid="{D8EEC855-02A3-44B5-90EA-AE042F1830A5}">
      <formula1>"ARITHMETIC,GEOMETRIC"</formula1>
    </dataValidation>
    <dataValidation type="list" allowBlank="1" showInputMessage="1" showErrorMessage="1" sqref="H26" xr:uid="{0E0064F4-20DA-4D6C-B935-7CC55D5C1A58}">
      <formula1>"floating, fixed"</formula1>
    </dataValidation>
    <dataValidation type="list" operator="greaterThan" allowBlank="1" showInputMessage="1" showErrorMessage="1" sqref="H6" xr:uid="{5194893D-1800-4C10-8A94-27C712687F93}">
      <formula1>"call,put"</formula1>
    </dataValidation>
    <dataValidation type="list" allowBlank="1" showInputMessage="1" showErrorMessage="1" sqref="H18" xr:uid="{C2EBFEF8-6CE0-4416-A2B7-8790D86CDF46}">
      <formula1>"DOWN-AND-IN,DOWN-AND-OUT,UP-AND-IN,UP-AND-OUT"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Calculer">
                <anchor moveWithCells="1" sizeWithCells="1">
                  <from>
                    <xdr:col>9</xdr:col>
                    <xdr:colOff>28575</xdr:colOff>
                    <xdr:row>6</xdr:row>
                    <xdr:rowOff>9525</xdr:rowOff>
                  </from>
                  <to>
                    <xdr:col>10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9B7E8-D7E5-46BE-8BA5-E5BC21AEB054}">
  <sheetPr codeName="Sheet2"/>
  <dimension ref="A1:I14"/>
  <sheetViews>
    <sheetView workbookViewId="0">
      <selection activeCell="I15" sqref="I15"/>
    </sheetView>
  </sheetViews>
  <sheetFormatPr defaultRowHeight="15" x14ac:dyDescent="0.25"/>
  <sheetData>
    <row r="1" spans="1:9" x14ac:dyDescent="0.25">
      <c r="A1" t="s">
        <v>44</v>
      </c>
      <c r="B1" t="s">
        <v>45</v>
      </c>
      <c r="G1" t="s">
        <v>47</v>
      </c>
    </row>
    <row r="2" spans="1:9" x14ac:dyDescent="0.25">
      <c r="A2">
        <v>1</v>
      </c>
      <c r="B2">
        <v>105</v>
      </c>
      <c r="E2" t="s">
        <v>46</v>
      </c>
      <c r="F2">
        <f>103-100</f>
        <v>3</v>
      </c>
    </row>
    <row r="3" spans="1:9" x14ac:dyDescent="0.25">
      <c r="A3">
        <v>2</v>
      </c>
      <c r="B3">
        <v>101</v>
      </c>
    </row>
    <row r="4" spans="1:9" x14ac:dyDescent="0.25">
      <c r="A4">
        <v>3</v>
      </c>
      <c r="B4">
        <v>100</v>
      </c>
      <c r="E4" t="s">
        <v>48</v>
      </c>
      <c r="F4">
        <f>AVERAGE(B2:B11)</f>
        <v>109.1</v>
      </c>
    </row>
    <row r="5" spans="1:9" x14ac:dyDescent="0.25">
      <c r="A5">
        <v>4</v>
      </c>
      <c r="B5">
        <v>107</v>
      </c>
    </row>
    <row r="6" spans="1:9" x14ac:dyDescent="0.25">
      <c r="A6">
        <v>5</v>
      </c>
      <c r="B6">
        <v>100</v>
      </c>
      <c r="E6" t="s">
        <v>49</v>
      </c>
      <c r="F6">
        <f>MAX(B2:B11)</f>
        <v>140</v>
      </c>
      <c r="H6" t="s">
        <v>30</v>
      </c>
    </row>
    <row r="7" spans="1:9" x14ac:dyDescent="0.25">
      <c r="A7">
        <v>6</v>
      </c>
      <c r="B7">
        <v>99</v>
      </c>
      <c r="F7">
        <f>MIN(B2:B11)</f>
        <v>99</v>
      </c>
      <c r="H7" t="s">
        <v>50</v>
      </c>
    </row>
    <row r="8" spans="1:9" x14ac:dyDescent="0.25">
      <c r="A8">
        <v>7</v>
      </c>
      <c r="B8">
        <v>101</v>
      </c>
    </row>
    <row r="9" spans="1:9" x14ac:dyDescent="0.25">
      <c r="A9">
        <v>8</v>
      </c>
      <c r="B9">
        <v>108</v>
      </c>
    </row>
    <row r="10" spans="1:9" x14ac:dyDescent="0.25">
      <c r="A10">
        <v>9</v>
      </c>
      <c r="B10">
        <v>130</v>
      </c>
    </row>
    <row r="11" spans="1:9" x14ac:dyDescent="0.25">
      <c r="A11">
        <v>10</v>
      </c>
      <c r="B11">
        <v>140</v>
      </c>
      <c r="E11">
        <v>40</v>
      </c>
    </row>
    <row r="14" spans="1:9" x14ac:dyDescent="0.25">
      <c r="E14" t="s">
        <v>51</v>
      </c>
      <c r="F14">
        <f>AVERAGE(B2:B11)</f>
        <v>109.1</v>
      </c>
      <c r="I14">
        <v>9.1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Option pricer</vt:lpstr>
      <vt:lpstr>Sheet1</vt:lpstr>
      <vt:lpstr>_K</vt:lpstr>
      <vt:lpstr>_Maturity</vt:lpstr>
      <vt:lpstr>_Nsim</vt:lpstr>
      <vt:lpstr>_Ntime</vt:lpstr>
      <vt:lpstr>_rf</vt:lpstr>
      <vt:lpstr>_Sigma</vt:lpstr>
      <vt:lpstr>_So</vt:lpstr>
      <vt:lpstr>_T</vt:lpstr>
      <vt:lpstr>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7618</dc:creator>
  <cp:lastModifiedBy>7618</cp:lastModifiedBy>
  <dcterms:created xsi:type="dcterms:W3CDTF">2024-10-15T14:47:15Z</dcterms:created>
  <dcterms:modified xsi:type="dcterms:W3CDTF">2024-10-17T14:35:06Z</dcterms:modified>
</cp:coreProperties>
</file>